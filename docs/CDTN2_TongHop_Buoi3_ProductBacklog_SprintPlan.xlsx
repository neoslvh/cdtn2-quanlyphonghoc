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SUS\Documents\CDTN2\"/>
    </mc:Choice>
  </mc:AlternateContent>
  <xr:revisionPtr revIDLastSave="0" documentId="13_ncr:1_{70247C8A-C337-4E92-8249-85E8AE86EB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Cover Page" sheetId="1" r:id="rId1"/>
    <sheet name="2. Product Backlog" sheetId="2" r:id="rId2"/>
    <sheet name="3. Tổng quan" sheetId="3" r:id="rId3"/>
    <sheet name="4. Ánh xạ NFR" sheetId="4" r:id="rId4"/>
    <sheet name="5. Kế hoạch Sprint" sheetId="5" r:id="rId5"/>
    <sheet name="6. Phân vai trò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E6" i="3"/>
  <c r="B6" i="3"/>
  <c r="E5" i="3"/>
  <c r="B5" i="3"/>
  <c r="E4" i="3"/>
  <c r="B4" i="3"/>
  <c r="I32" i="2"/>
  <c r="H32" i="2"/>
  <c r="G32" i="2"/>
  <c r="I31" i="2"/>
  <c r="H31" i="2"/>
  <c r="G31" i="2"/>
  <c r="I30" i="2"/>
  <c r="H30" i="2"/>
  <c r="G30" i="2"/>
  <c r="D30" i="2"/>
  <c r="D31" i="2" s="1"/>
  <c r="C30" i="2"/>
  <c r="C31" i="2" s="1"/>
  <c r="B30" i="2"/>
  <c r="I29" i="2"/>
  <c r="H29" i="2"/>
  <c r="G29" i="2"/>
  <c r="D29" i="2"/>
  <c r="C29" i="2"/>
  <c r="B29" i="2"/>
  <c r="I28" i="2"/>
  <c r="H28" i="2"/>
  <c r="G28" i="2"/>
  <c r="D28" i="2"/>
  <c r="C28" i="2"/>
  <c r="B28" i="2"/>
  <c r="B31" i="2" l="1"/>
</calcChain>
</file>

<file path=xl/sharedStrings.xml><?xml version="1.0" encoding="utf-8"?>
<sst xmlns="http://schemas.openxmlformats.org/spreadsheetml/2006/main" count="467" uniqueCount="307">
  <si>
    <t>Ngày bắt đầu</t>
  </si>
  <si>
    <t>Nhóm thực hiện</t>
  </si>
  <si>
    <t>Trần Đăng Khoa, Lưu Văn Hưng, Nguyễn Gia Huy</t>
  </si>
  <si>
    <t>Đề tài</t>
  </si>
  <si>
    <t>Phiên bản</t>
  </si>
  <si>
    <t>1.0</t>
  </si>
  <si>
    <t>Học phần</t>
  </si>
  <si>
    <t>Chuyên đề tốt nghiệp 2</t>
  </si>
  <si>
    <t>LỊCH SỬ PHIÊN BẢN</t>
  </si>
  <si>
    <t>Ngày</t>
  </si>
  <si>
    <t>Người thực hiện</t>
  </si>
  <si>
    <t>Nội dung</t>
  </si>
  <si>
    <t>Ghi chú</t>
  </si>
  <si>
    <t>Tạo Product Backlog dựa trên SRS Buổi 2</t>
  </si>
  <si>
    <t>Ưu tiên theo MoSCoW</t>
  </si>
  <si>
    <t>LỊCH SỬ PHÊ DUYỆT</t>
  </si>
  <si>
    <t>Người duyệt</t>
  </si>
  <si>
    <t>Mô tả</t>
  </si>
  <si>
    <t>Trạng thái</t>
  </si>
  <si>
    <t>Chưa có phê duyệt</t>
  </si>
  <si>
    <t>Chờ duyệt</t>
  </si>
  <si>
    <t>PRODUCT BACKLOG</t>
  </si>
  <si>
    <t>Mã Backlog</t>
  </si>
  <si>
    <t>Mã chức năng</t>
  </si>
  <si>
    <t>Actor</t>
  </si>
  <si>
    <t>Epic</t>
  </si>
  <si>
    <t>Hạng mục Backlog</t>
  </si>
  <si>
    <t>User Story</t>
  </si>
  <si>
    <t>Loại</t>
  </si>
  <si>
    <t>Story Points</t>
  </si>
  <si>
    <t>Giờ dự kiến</t>
  </si>
  <si>
    <t>Ưu tiên (MoSCoW)</t>
  </si>
  <si>
    <t>Sprint #</t>
  </si>
  <si>
    <t>Tiêu chí chấp nhận</t>
  </si>
  <si>
    <t>PB-01</t>
  </si>
  <si>
    <t>FR-01</t>
  </si>
  <si>
    <t>Tất cả người dùng</t>
  </si>
  <si>
    <t>Quản trị hệ thống</t>
  </si>
  <si>
    <t>Đăng nhập / đăng xuất</t>
  </si>
  <si>
    <t>Là người dùng, tôi muốn đăng nhập và đăng xuất khỏi hệ thống để truy cập các chức năng đúng với tài khoản của mình.</t>
  </si>
  <si>
    <t>Chức năng</t>
  </si>
  <si>
    <t>Must</t>
  </si>
  <si>
    <t>Sprint 2</t>
  </si>
  <si>
    <t>AC1: Đăng nhập thành công khi thông tin hợp lệ.
AC2: Sai thông tin đăng nhập phải hiển thị lỗi.
AC3: Sau khi đăng xuất, người dùng không truy cập được chức năng yêu cầu xác thực.</t>
  </si>
  <si>
    <t>Chưa thực hiện</t>
  </si>
  <si>
    <t>PB-02</t>
  </si>
  <si>
    <t>FR-02</t>
  </si>
  <si>
    <t>Quản trị viên / Hệ thống</t>
  </si>
  <si>
    <t>Phân quyền theo vai trò</t>
  </si>
  <si>
    <t>Là quản trị viên, tôi muốn gán vai trò cho tài khoản để mỗi người chỉ sử dụng đúng chức năng được phép.</t>
  </si>
  <si>
    <t>AC1: Mỗi vai trò chỉ thấy và dùng được chức năng được cấp quyền.
AC2: Gọi API trái quyền phải bị từ chối.
AC3: Thay đổi vai trò có hiệu lực sau khi lưu.</t>
  </si>
  <si>
    <t>PB-03</t>
  </si>
  <si>
    <t>FR-03</t>
  </si>
  <si>
    <t>Nhân viên cơ sở vật chất</t>
  </si>
  <si>
    <t>Danh mục tài nguyên</t>
  </si>
  <si>
    <t>Quản lý phòng</t>
  </si>
  <si>
    <t>Là nhân viên cơ sở vật chất, tôi muốn quản lý danh sách phòng để dữ liệu tra cứu luôn chính xác.</t>
  </si>
  <si>
    <t>AC1: Có thể thêm, sửa, tìm kiếm phòng theo mã/tòa/sức chứa/loại/trạng thái.
AC2: Không cho phép trùng mã phòng.
AC3: Phòng ngừng hoạt động không được hiển thị là tài nguyên khả dụng.</t>
  </si>
  <si>
    <t>PB-04</t>
  </si>
  <si>
    <t>FR-04</t>
  </si>
  <si>
    <t>Quản lý thiết bị</t>
  </si>
  <si>
    <t>Là nhân viên cơ sở vật chất, tôi muốn quản lý thiết bị theo từng phòng để biết tình trạng và khả năng sử dụng của thiết bị.</t>
  </si>
  <si>
    <t>AC1: Có thể thêm, sửa và xem thiết bị theo phòng.
AC2: Thiết bị có trạng thái tối thiểu: tốt, hỏng, đang sửa.
AC3: Thiết bị không khả dụng không được chọn cho yêu cầu mới.</t>
  </si>
  <si>
    <t>PB-05</t>
  </si>
  <si>
    <t>FR-05</t>
  </si>
  <si>
    <t>Nhân viên cơ sở vật chất / Người dùng</t>
  </si>
  <si>
    <t>Sinh và quét mã QR</t>
  </si>
  <si>
    <t>Là người dùng, tôi muốn quét mã QR của phòng hoặc thiết bị để mở nhanh thông tin tương ứng.</t>
  </si>
  <si>
    <t>Should</t>
  </si>
  <si>
    <t>Sprint 5 (Stretch)</t>
  </si>
  <si>
    <t>AC1: Mỗi phòng/thiết bị có mã QR duy nhất.
AC2: Quét QR mở đúng trang thông tin của tài nguyên.
AC3: QR của tài nguyên ngừng hoạt động vẫn hiển thị đúng trạng thái.</t>
  </si>
  <si>
    <t>Sau khi hoàn thành core</t>
  </si>
  <si>
    <t>PB-06</t>
  </si>
  <si>
    <t>FR-06</t>
  </si>
  <si>
    <t>Người đăng ký</t>
  </si>
  <si>
    <t>Đăng ký phòng</t>
  </si>
  <si>
    <t>Tra cứu phòng trống</t>
  </si>
  <si>
    <t>Là người đăng ký, tôi muốn tìm phòng trống theo ngày, giờ, sức chứa và thiết bị để chọn được phòng phù hợp.</t>
  </si>
  <si>
    <t>AC1: Lọc được theo ngày, khung giờ, sức chứa và thiết bị cần có.
AC2: Phòng có lịch đã duyệt bị trùng không được hiển thị là khả dụng.
AC3: Trang tra cứu phản hồi trong ngưỡng hiệu năng đã đặt.</t>
  </si>
  <si>
    <t>PB-07</t>
  </si>
  <si>
    <t>FR-07</t>
  </si>
  <si>
    <t>Tạo và gửi yêu cầu đăng ký</t>
  </si>
  <si>
    <t>Là người đăng ký, tôi muốn gửi yêu cầu sử dụng phòng kèm thiết bị để không phải thực hiện bằng phiếu giấy.</t>
  </si>
  <si>
    <t>AC1: Nhập được mục đích, thời gian, số người, đơn vị và thiết bị cần dùng.
AC2: Thiếu trường bắt buộc thì không cho gửi.
AC3: Dữ liệu hợp lệ được lưu và tạo yêu cầu thành công.</t>
  </si>
  <si>
    <t>PB-08</t>
  </si>
  <si>
    <t>FR-08</t>
  </si>
  <si>
    <t>Hệ thống</t>
  </si>
  <si>
    <t>Kiểm tra trùng lịch</t>
  </si>
  <si>
    <t>Là người đăng ký, tôi muốn hệ thống cảnh báo khi thời gian chọn bị trùng để có thể đổi phòng hoặc khung giờ.</t>
  </si>
  <si>
    <t>AC1: Phát hiện các khoảng thời gian giao nhau trên cùng một phòng.
AC2: Hai yêu cầu đồng thời cùng phòng/cùng giờ không thể cùng được xác nhận.
AC3: Kiểm tra trùng lịch đáp ứng ngưỡng hiệu năng của SRS.</t>
  </si>
  <si>
    <t>PB-09</t>
  </si>
  <si>
    <t>FR-09</t>
  </si>
  <si>
    <t>Chỉnh sửa / hủy yêu cầu</t>
  </si>
  <si>
    <t>Là người đăng ký, tôi muốn chỉnh sửa hoặc hủy yêu cầu khi kế hoạch thay đổi để thông tin luôn đúng.</t>
  </si>
  <si>
    <t>Sprint 3</t>
  </si>
  <si>
    <t>Core – Sprint 2</t>
  </si>
  <si>
    <t>PB-10</t>
  </si>
  <si>
    <t>FR-10</t>
  </si>
  <si>
    <t>Theo dõi trạng thái yêu cầu</t>
  </si>
  <si>
    <t>Là người đăng ký, tôi muốn biết yêu cầu của mình đang ở bước xử lý nào để chủ động theo dõi.</t>
  </si>
  <si>
    <t>AC1: Hiển thị trạng thái hiện tại của từng yêu cầu.
AC2: Hiển thị bước/cấp đang xử lý.
AC3: Trạng thái được cập nhật sau mỗi hành động duyệt hoặc từ chối.</t>
  </si>
  <si>
    <t>PB-11</t>
  </si>
  <si>
    <t>FR-11</t>
  </si>
  <si>
    <t>Xem lịch sử sử dụng phòng</t>
  </si>
  <si>
    <t>Là người dùng, tôi muốn xem lịch sử sử dụng phòng theo ngày hoặc tuần để biết các khung giờ đã được duyệt.</t>
  </si>
  <si>
    <t>Could</t>
  </si>
  <si>
    <t>Mở rộng</t>
  </si>
  <si>
    <t>AC1: Xem được lịch đã duyệt theo ngày/tuần.
AC2: Thông tin hiển thị đúng phòng, thời gian và trạng thái.
AC3: Có thể chuyển ngày/tuần để tra cứu.</t>
  </si>
  <si>
    <t>Nếu còn thời gian</t>
  </si>
  <si>
    <t>PB-12</t>
  </si>
  <si>
    <t>FR-12</t>
  </si>
  <si>
    <t>Hệ thống / Quản trị viên</t>
  </si>
  <si>
    <t>Duyệt yêu cầu</t>
  </si>
  <si>
    <t>Xác định chuỗi duyệt</t>
  </si>
  <si>
    <t>Là quản trị viên, tôi muốn quy trình xử lý áp dụng các quy tắc đã cấu hình để yêu cầu được chuyển đến đúng đơn vị xử lý.</t>
  </si>
  <si>
    <t>PB-13</t>
  </si>
  <si>
    <t>FR-13</t>
  </si>
  <si>
    <t>Cán bộ duyệt</t>
  </si>
  <si>
    <t>Duyệt / từ chối yêu cầu</t>
  </si>
  <si>
    <t>Là cán bộ duyệt, tôi muốn đồng ý hoặc từ chối yêu cầu kèm lý do để người đăng ký biết kết quả xử lý.</t>
  </si>
  <si>
    <t>AC1: Cán bộ chỉ thấy các yêu cầu thuộc phạm vi xử lý của mình.
AC2: Duyệt thành công chuyển yêu cầu sang bước tiếp theo hoặc hoàn tất.
AC3: Từ chối bắt buộc nhập lý do.</t>
  </si>
  <si>
    <t>PB-14</t>
  </si>
  <si>
    <t>FR-14</t>
  </si>
  <si>
    <t>Thông báo &amp; tài liệu</t>
  </si>
  <si>
    <t>Thông báo kết quả xử lý</t>
  </si>
  <si>
    <t>Là người đăng ký, tôi muốn nhận thông báo khi trạng thái yêu cầu thay đổi để biết kết quả kịp thời.</t>
  </si>
  <si>
    <t>Sprint 4</t>
  </si>
  <si>
    <t>AC1: Có thông báo khi yêu cầu được duyệt hoặc từ chối.
AC2: Thông báo hiển thị đúng yêu cầu và trạng thái mới.
AC3: Có thể đánh dấu thông báo đã đọc.</t>
  </si>
  <si>
    <t>PB-15</t>
  </si>
  <si>
    <t>FR-15</t>
  </si>
  <si>
    <t>Xuất phiếu đăng ký PDF</t>
  </si>
  <si>
    <t>Là người đăng ký, tôi muốn tải phiếu đã được duyệt dạng PDF để sử dụng khi nhận phòng.</t>
  </si>
  <si>
    <t>Sprint 5</t>
  </si>
  <si>
    <t>AC1: Chỉ tạo PDF khi yêu cầu đã được duyệt hoàn tất.
AC2: PDF có thông tin yêu cầu và lịch sử/cấp duyệt cần thiết.
AC3: Người đăng ký tải được file PDF.</t>
  </si>
  <si>
    <t>PB-16</t>
  </si>
  <si>
    <t>FR-16</t>
  </si>
  <si>
    <t>Quản trị viên</t>
  </si>
  <si>
    <t>Cấu hình quy tắc duyệt</t>
  </si>
  <si>
    <t>Là quản trị viên, tôi muốn chỉnh quy tắc và ngưỡng duyệt trên giao diện để cập nhật khi quy định thay đổi.</t>
  </si>
  <si>
    <t>AC1: Có thể thêm/sửa quy tắc và ngưỡng xử lý.
AC2: Yêu cầu mới áp dụng cấu hình mới sau khi lưu.
AC3: Thay đổi cấu hình được ghi nhận vào nhật ký.</t>
  </si>
  <si>
    <t>PB-17</t>
  </si>
  <si>
    <t>FR-17</t>
  </si>
  <si>
    <t>Sử dụng phòng</t>
  </si>
  <si>
    <t>Bàn giao / nhận trả</t>
  </si>
  <si>
    <t>Là nhân viên cơ sở vật chất, tôi muốn ghi nhận bàn giao và nhận trả phòng, thiết bị để biết tình trạng trước và sau sử dụng.</t>
  </si>
  <si>
    <t>AC1: Lưu được thời gian bàn giao/nhận trả và người thực hiện.
AC2: Lưu được danh sách phòng/thiết bị và tình trạng.
AC3: Có thể xem lại biên bản bàn giao của yêu cầu.</t>
  </si>
  <si>
    <t>PB-18</t>
  </si>
  <si>
    <t>FR-18</t>
  </si>
  <si>
    <t>Check-in bằng QR</t>
  </si>
  <si>
    <t>Là người đăng ký, tôi muốn quét QR tại phòng để xác nhận đã nhận đúng phòng trong thời gian được duyệt.</t>
  </si>
  <si>
    <t>AC1: Chỉ check-in khi yêu cầu đã được duyệt.
AC2: QR phải đúng phòng và đúng khung giờ.
AC3: Sai phòng hoặc sai giờ phải bị từ chối.</t>
  </si>
  <si>
    <t>PB-19</t>
  </si>
  <si>
    <t>FR-19</t>
  </si>
  <si>
    <t>Báo hỏng thiết bị</t>
  </si>
  <si>
    <t>Là người đăng ký, tôi muốn gửi báo hỏng thiết bị kèm mô tả và ảnh để bộ phận phụ trách xử lý.</t>
  </si>
  <si>
    <t>AC1: Chọn được thiết bị cần báo hỏng.
AC2: Mô tả lỗi là bắt buộc; ảnh có thể đính kèm.
AC3: Báo hỏng được liên kết với người báo, phòng và thời điểm.</t>
  </si>
  <si>
    <t>PB-20</t>
  </si>
  <si>
    <t>FR-20</t>
  </si>
  <si>
    <t>Bảo trì</t>
  </si>
  <si>
    <t>Quản lý bảo trì</t>
  </si>
  <si>
    <t>Là nhân viên cơ sở vật chất, tôi muốn tạo và theo dõi phiếu bảo trì để tài nguyên đang sửa không được đăng ký nhầm.</t>
  </si>
  <si>
    <t>AC1: Tạo được phiếu bảo trì từ báo hỏng.
AC2: Tài nguyên đang bảo trì được đánh dấu không khả dụng.
AC3: Có thể cập nhật trạng thái bảo trì đến khi hoàn tất.</t>
  </si>
  <si>
    <t>PB-21</t>
  </si>
  <si>
    <t>FR-21</t>
  </si>
  <si>
    <t>Báo cáo &amp; truy vết</t>
  </si>
  <si>
    <t>Nhật ký thao tác</t>
  </si>
  <si>
    <t>Là quản trị viên, tôi muốn xem nhật ký thao tác để đối chiếu khi có khiếu nại hoặc cần truy vết.</t>
  </si>
  <si>
    <t>AC1: Ghi người thực hiện, hành động và thời gian.
AC2: Các thao tác duyệt, sửa, hủy phải có nhật ký.
AC3: Quản trị viên có thể tra cứu nhật ký.</t>
  </si>
  <si>
    <t>PB-22</t>
  </si>
  <si>
    <t>FR-22</t>
  </si>
  <si>
    <t>Báo cáo thống kê</t>
  </si>
  <si>
    <t>Là quản trị viên, tôi muốn xem thống kê sử dụng phòng và tình trạng thiết bị để theo dõi mức độ sử dụng tài nguyên.</t>
  </si>
  <si>
    <t>AC1: Thống kê được tần suất sử dụng phòng.
AC2: Thống kê số yêu cầu theo trạng thái.
AC3: Thống kê được số thiết bị hỏng theo khoảng thời gian.</t>
  </si>
  <si>
    <t>Ưu tiên</t>
  </si>
  <si>
    <t>Số PBI</t>
  </si>
  <si>
    <t>Sprint</t>
  </si>
  <si>
    <t>Tổng</t>
  </si>
  <si>
    <t>Stretch/Mở rộng</t>
  </si>
  <si>
    <t>TỔNG HỢP KẾ HOẠCH DỰ ÁN - BUỔI 3</t>
  </si>
  <si>
    <t>Chỉ số</t>
  </si>
  <si>
    <t>Giá trị</t>
  </si>
  <si>
    <t>Mục tiêu chính</t>
  </si>
  <si>
    <t>Tổng Product Backlog Item</t>
  </si>
  <si>
    <t>Sprint 0 (Buổi 1-3)</t>
  </si>
  <si>
    <t>SRS + Product Backlog + kế hoạch</t>
  </si>
  <si>
    <t>Must-have</t>
  </si>
  <si>
    <t>Sprint 1 (Buổi 4-5)</t>
  </si>
  <si>
    <t>Kiến trúc + ERD + API + Wireframe</t>
  </si>
  <si>
    <t>Should-have</t>
  </si>
  <si>
    <t>Sprint 2 (Buổi 6)</t>
  </si>
  <si>
    <t>Auth + tài nguyên + đăng ký + conflict</t>
  </si>
  <si>
    <t>Could-have</t>
  </si>
  <si>
    <t>Sprint 3 (Buổi 7)</t>
  </si>
  <si>
    <t>Workflow duyệt + theo dõi trạng thái</t>
  </si>
  <si>
    <t>Tổng Story Points</t>
  </si>
  <si>
    <t>Sprint 4 (Buổi 8)</t>
  </si>
  <si>
    <t>Kiểm thử + fix bug + hoàn thiện Should</t>
  </si>
  <si>
    <t>Sprint 5 (Buổi 9-10)</t>
  </si>
  <si>
    <t>Deploy + báo cáo + demo</t>
  </si>
  <si>
    <t>ÁNH XẠ YÊU CẦU PHI CHỨC NĂNG (NFR) VÀ PRODUCT BACKLOG</t>
  </si>
  <si>
    <t>Mã NFR</t>
  </si>
  <si>
    <t>Yêu cầu</t>
  </si>
  <si>
    <t>PBI liên quan</t>
  </si>
  <si>
    <t>Áp dụng trong backlog</t>
  </si>
  <si>
    <t>Cách kiểm chứng</t>
  </si>
  <si>
    <t>NFR-01</t>
  </si>
  <si>
    <t>Không có hai lượt đặt đã duyệt chồng giờ trên cùng một phòng.</t>
  </si>
  <si>
    <t>PB-06, PB-08, PB-13</t>
  </si>
  <si>
    <t>Tra cứu khả dụng, kiểm tra xung đột và bước duyệt cuối.</t>
  </si>
  <si>
    <t>Gửi đồng thời hai yêu cầu cùng phòng/cùng giờ; chỉ một yêu cầu được xác nhận.</t>
  </si>
  <si>
    <t>NFR-02</t>
  </si>
  <si>
    <t>Kiểm tra trùng lịch không quá 1 giây với 1.000 lượt đặt.</t>
  </si>
  <si>
    <t>Acceptance Criteria của chức năng kiểm tra trùng lịch.</t>
  </si>
  <si>
    <t>Đo thời gian phản hồi API với dữ liệu kiểm thử.</t>
  </si>
  <si>
    <t>NFR-03</t>
  </si>
  <si>
    <t>Trang tra cứu phòng trống tải không quá 3 giây.</t>
  </si>
  <si>
    <t>Acceptance Criteria của tra cứu phòng.</t>
  </si>
  <si>
    <t>Đo bằng công cụ trình duyệt.</t>
  </si>
  <si>
    <t>NFR-04</t>
  </si>
  <si>
    <t>API nhạy cảm phải kiểm tra quyền; mật khẩu không lưu plaintext.</t>
  </si>
  <si>
    <t>PB-01, PB-02, PB-13, PB-16, PB-18</t>
  </si>
  <si>
    <t>Auth, RBAC và các chức năng xử lý nhạy cảm.</t>
  </si>
  <si>
    <t>Gọi API trái quyền phải bị từ chối; kiểm tra dữ liệu lưu trữ.</t>
  </si>
  <si>
    <t>NFR-05</t>
  </si>
  <si>
    <t>Ít nhất 80% người dùng thử gửi yêu cầu trong ≤ 2 phút và không quá 5 bước chính.</t>
  </si>
  <si>
    <t>PB-06, PB-07</t>
  </si>
  <si>
    <t>Luồng tra cứu và gửi yêu cầu.</t>
  </si>
  <si>
    <t>Cho ít nhất 5 người ngoài nhóm dùng thử.</t>
  </si>
  <si>
    <t>NFR-06</t>
  </si>
  <si>
    <t>Hệ thống chạy trên Chrome/Edge và giao diện hỗ trợ màn hình từ 375px.</t>
  </si>
  <si>
    <t>PB-03, PB-04, PB-05, PB-06, PB-07, PB-10, PB-11</t>
  </si>
  <si>
    <t>Các màn hình quản lý, tra cứu và theo dõi.</t>
  </si>
  <si>
    <t>Kiểm thử thủ công trên trình duyệt/màn hình mục tiêu.</t>
  </si>
  <si>
    <t>NFR-07</t>
  </si>
  <si>
    <t>100% thao tác duyệt, sửa, hủy phải được ghi nhật ký.</t>
  </si>
  <si>
    <t>PB-09, PB-12, PB-13, PB-16, PB-17, PB-19, PB-20, PB-21</t>
  </si>
  <si>
    <t>Audit trail cho các thao tác thay đổi dữ liệu/nghiệp vụ.</t>
  </si>
  <si>
    <t>Đối chiếu nhật ký với thao tác kiểm thử.</t>
  </si>
  <si>
    <t>KẾ HOẠCH SPRINT - AGILE/SCRUM RÚT GỌN</t>
  </si>
  <si>
    <t>Buổi</t>
  </si>
  <si>
    <t>Mục tiêu</t>
  </si>
  <si>
    <t>PBI / Công việc</t>
  </si>
  <si>
    <t>Công việc chính</t>
  </si>
  <si>
    <t>Kết quả bàn giao</t>
  </si>
  <si>
    <t>Demo / Definition of Done</t>
  </si>
  <si>
    <t>Sprint 0</t>
  </si>
  <si>
    <t>Buổi 1-3</t>
  </si>
  <si>
    <t>Phân tích yêu cầu và lập kế hoạch</t>
  </si>
  <si>
    <t>SRS, Product Backlog, MoSCoW, Sprint Plan</t>
  </si>
  <si>
    <t>Hoàn thiện SRS; chuyển FR thành PBI; ưu tiên backlog; thống nhất phạm vi.</t>
  </si>
  <si>
    <t>SRS + Product Backlog + Kế hoạch Sprint</t>
  </si>
  <si>
    <t>Backlog bám SRS, có MoSCoW và sẵn sàng cho thiết kế.</t>
  </si>
  <si>
    <t>Sprint 1</t>
  </si>
  <si>
    <t>Buổi 4-5</t>
  </si>
  <si>
    <t>Thiết kế hệ thống</t>
  </si>
  <si>
    <t>Thiết kế cho PB-01 → PB-13 (core)</t>
  </si>
  <si>
    <t>Thiết kế kiến trúc React/Node.js/PostgreSQL; ERD; API contract; wireframe; workflow.</t>
  </si>
  <si>
    <t>Architecture + ERD + API Contract + Wireframe</t>
  </si>
  <si>
    <t>Thiết kế đủ chi tiết để bắt đầu code ở Buổi 6.</t>
  </si>
  <si>
    <t>Buổi 6</t>
  </si>
  <si>
    <t>Xây dựng nền tảng và luồng đăng ký</t>
  </si>
  <si>
    <t>PB-01, PB-02, PB-03, PB-04, PB-06, PB-07, PB-08</t>
  </si>
  <si>
    <t>Auth/RBAC; quản lý phòng &amp; thiết bị; tra cứu phòng; tạo request; conflict checking.</t>
  </si>
  <si>
    <t>Module đăng nhập + tài nguyên + đăng ký hoạt động</t>
  </si>
  <si>
    <t>Demo: đăng nhập → tra cứu → tạo yêu cầu → phát hiện trùng lịch → gửi thành công.</t>
  </si>
  <si>
    <t>Buổi 7</t>
  </si>
  <si>
    <t>Hoàn thành workflow xử lý yêu cầu</t>
  </si>
  <si>
    <t>PB-09, PB-10, PB-12, PB-13</t>
  </si>
  <si>
    <t>Chỉnh sửa/hủy theo trạng thái; theo dõi trạng thái; routing workflow; duyệt/từ chối.</t>
  </si>
  <si>
    <t>Luồng nghiệp vụ core end-to-end</t>
  </si>
  <si>
    <t>Demo: gửi yêu cầu → chuyển đúng bước → duyệt/từ chối → người đăng ký theo dõi trạng thái.</t>
  </si>
  <si>
    <t>Buổi 8</t>
  </si>
  <si>
    <t>Kiểm thử và hoàn thiện</t>
  </si>
  <si>
    <t>PB-14, PB-21 + NFR-01 → NFR-07</t>
  </si>
  <si>
    <t>Unit/Integration/API/E2E test; fix bug; thông báo in-app; audit log; kiểm tra NFR.</t>
  </si>
  <si>
    <t>Kết quả kiểm thử + core ổn định</t>
  </si>
  <si>
    <t>Các test core pass; phân quyền, conflict và audit hoạt động đúng.</t>
  </si>
  <si>
    <t>Buổi 9-10</t>
  </si>
  <si>
    <t>Triển khai và hoàn thiện sản phẩm</t>
  </si>
  <si>
    <t>PB-15, PB-17; Stretch: PB-05, PB-18, PB-19</t>
  </si>
  <si>
    <t>Xuất PDF; bàn giao/nhận trả nếu đủ capacity; deploy Docker; seed demo data; hoàn thiện báo cáo.</t>
  </si>
  <si>
    <t>Sản phẩm deploy + báo cáo + kịch bản demo</t>
  </si>
  <si>
    <t>Demo hệ thống trên môi trường deploy; core flow ổn định. Stretch chỉ làm khi core hoàn tất.</t>
  </si>
  <si>
    <t>Sau core / nếu còn thời gian</t>
  </si>
  <si>
    <t>Các chức năng không cam kết</t>
  </si>
  <si>
    <t>PB-11, PB-16, PB-20, PB-22</t>
  </si>
  <si>
    <t>Calendar nâng cao; UI cấu hình rule; maintenance; dashboard thống kê.</t>
  </si>
  <si>
    <t>Không bắt buộc trong MVP</t>
  </si>
  <si>
    <t>Chỉ triển khai khi toàn bộ Must và Should ưu tiên đã hoàn thành.</t>
  </si>
  <si>
    <t>BẢNG PHÂN VAI TRÒ KỸ THUẬT</t>
  </si>
  <si>
    <t>Thành viên</t>
  </si>
  <si>
    <t>Vai trò chính</t>
  </si>
  <si>
    <t>Vai trò phụ</t>
  </si>
  <si>
    <t>PBI/Sprint phụ trách</t>
  </si>
  <si>
    <t>Trách nhiệm</t>
  </si>
  <si>
    <t>Trần Đăng Khoa</t>
  </si>
  <si>
    <t>Chưa phân công</t>
  </si>
  <si>
    <t>Cần nhóm xác nhận</t>
  </si>
  <si>
    <t>Lưu Văn Hưng</t>
  </si>
  <si>
    <t>Nguyễn Gia Huy</t>
  </si>
  <si>
    <t>Core – Sprint 3</t>
  </si>
  <si>
    <t>AC1: Yêu cầu còn ở trạng thái nháp được phép chỉnh sửa.
AC2: Sau khi gửi, người đăng ký chỉ hủy được khi yêu cầu chưa được duyệt xong.
AC3: Mọi thao tác sửa, hủy đều được ghi nhật ký.</t>
  </si>
  <si>
    <t>AC1: Hệ thống xác định bước xác nhận và đơn vị xử lý theo quy tắc BR-03 đến BR-06 trong SRS.
AC2: Sau khi một bước được duyệt, yêu cầu chuyển đúng bước tiếp theo.
AC3: Hoạt động từ 200 sinh viên trở lên phải có phê duyệt của Ban Giám hiệu trước khi hoàn tất.</t>
  </si>
  <si>
    <t>Hệ thống web quản lý phòng học và thiết bị, hỗ trợ đăng ký và duyệt nhiều cấp</t>
  </si>
  <si>
    <t>PRODUCT
BACKLOG
V 1.1</t>
  </si>
  <si>
    <t>Đồng bộ số sprint ở cột Ghi chú và tiêu chí chấp nhận PB-09, PB-12 với SRS v1.1</t>
  </si>
  <si>
    <t>Theo SRS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</si>
</sst>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name val="Carlito"/>
    </font>
    <font>
      <sz val="34"/>
      <color rgb="FF244E83"/>
      <name val="Carlito"/>
    </font>
    <font>
      <b/>
      <sz val="11"/>
      <color rgb="FFFFFFFF"/>
      <name val="Carlito"/>
    </font>
    <font>
      <b/>
      <sz val="26"/>
      <color rgb="FF244E83"/>
      <name val="Carlito"/>
    </font>
    <font>
      <b/>
      <i/>
      <sz val="11"/>
      <color rgb="FFFFFFFF"/>
      <name val="Carlito"/>
    </font>
    <font>
      <b/>
      <sz val="11"/>
      <color rgb="FF17365D"/>
      <name val="Carlito"/>
    </font>
    <font>
      <b/>
      <sz val="16"/>
      <color rgb="FFFFFFFF"/>
      <name val="Carlito"/>
    </font>
    <font>
      <b/>
      <sz val="14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EA95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</fills>
  <borders count="30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/>
      <diagonal/>
    </border>
    <border>
      <left/>
      <right/>
      <top style="thin">
        <color rgb="FF1F1F1F"/>
      </top>
      <bottom/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/>
      <bottom/>
      <diagonal/>
    </border>
    <border>
      <left/>
      <right style="thin">
        <color rgb="FF1F1F1F"/>
      </right>
      <top/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A6A6A6"/>
      </left>
      <right style="thin">
        <color rgb="FFD9D9D9"/>
      </right>
      <top style="thin">
        <color rgb="FFA6A6A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A6A6A6"/>
      </top>
      <bottom style="thin">
        <color rgb="FFD9D9D9"/>
      </bottom>
      <diagonal/>
    </border>
    <border>
      <left style="thin">
        <color rgb="FFD9D9D9"/>
      </left>
      <right style="thin">
        <color rgb="FFA6A6A6"/>
      </right>
      <top style="thin">
        <color rgb="FFA6A6A6"/>
      </top>
      <bottom style="thin">
        <color rgb="FFD9D9D9"/>
      </bottom>
      <diagonal/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D9D9D9"/>
      </right>
      <top style="thin">
        <color rgb="FFD9D9D9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6A6A6"/>
      </bottom>
      <diagonal/>
    </border>
    <border>
      <left style="thin">
        <color rgb="FFD9D9D9"/>
      </left>
      <right style="thin">
        <color rgb="FFA6A6A6"/>
      </right>
      <top style="thin">
        <color rgb="FFD9D9D9"/>
      </top>
      <bottom style="thin">
        <color rgb="FFA6A6A6"/>
      </bottom>
      <diagonal/>
    </border>
    <border>
      <left style="thin">
        <color rgb="FFD9D9D9"/>
      </left>
      <right style="thin">
        <color rgb="FFE7E6E6"/>
      </right>
      <top style="thin">
        <color rgb="FFD9D9D9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D9D9D9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D9D9D9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D9D9D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164" fontId="0" fillId="0" borderId="4" xfId="0" applyNumberFormat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64" fontId="0" fillId="0" borderId="13" xfId="0" applyNumberFormat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0" borderId="16" xfId="0" applyBorder="1"/>
    <xf numFmtId="0" fontId="2" fillId="3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/>
    <xf numFmtId="0" fontId="5" fillId="4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4" borderId="22" xfId="0" applyFont="1" applyFill="1" applyBorder="1" applyAlignment="1">
      <alignment horizontal="center" vertical="center"/>
    </xf>
    <xf numFmtId="0" fontId="0" fillId="0" borderId="23" xfId="0" applyBorder="1"/>
    <xf numFmtId="0" fontId="2" fillId="3" borderId="0" xfId="0" applyFont="1" applyFill="1" applyAlignment="1">
      <alignment horizontal="center" vertical="center" wrapText="1"/>
    </xf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D9D9D9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  <dxf>
      <font>
        <b/>
      </font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Phân bổ Product Backlog theo MoSCoW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PBI</c:v>
          </c:tx>
          <c:invertIfNegative val="1"/>
          <c:cat>
            <c:strRef>
              <c:f>'3. Tổng quan'!$D$4:$D$6</c:f>
              <c:strCache>
                <c:ptCount val="3"/>
                <c:pt idx="0">
                  <c:v>Must</c:v>
                </c:pt>
                <c:pt idx="1">
                  <c:v>Should</c:v>
                </c:pt>
                <c:pt idx="2">
                  <c:v>Could</c:v>
                </c:pt>
              </c:strCache>
            </c:strRef>
          </c:cat>
          <c:val>
            <c:numRef>
              <c:f>'3. Tổng quan'!$E$4:$E$6</c:f>
              <c:numCache>
                <c:formatCode>General</c:formatCode>
                <c:ptCount val="3"/>
                <c:pt idx="0">
                  <c:v>11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B-49CA-8189-FEB0AC3F2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47"/>
  <sheetViews>
    <sheetView tabSelected="1" workbookViewId="0">
      <selection activeCell="K14" sqref="K14:O14"/>
    </sheetView>
  </sheetViews>
  <sheetFormatPr defaultRowHeight="14.25"/>
  <cols>
    <col min="1" max="10" width="10" customWidth="1"/>
    <col min="11" max="11" width="18" customWidth="1"/>
    <col min="12" max="12" width="15" customWidth="1"/>
    <col min="13" max="13" width="18" customWidth="1"/>
    <col min="14" max="15" width="28" customWidth="1"/>
  </cols>
  <sheetData>
    <row r="4" spans="1:15" ht="15">
      <c r="K4" s="1" t="s">
        <v>0</v>
      </c>
      <c r="L4" s="13">
        <v>46305</v>
      </c>
      <c r="M4" s="5"/>
      <c r="N4" s="5"/>
      <c r="O4" s="6"/>
    </row>
    <row r="5" spans="1:15" ht="42.75">
      <c r="K5" s="2" t="s">
        <v>1</v>
      </c>
      <c r="L5" s="7" t="s">
        <v>2</v>
      </c>
      <c r="M5" s="8"/>
      <c r="N5" s="8"/>
      <c r="O5" s="9"/>
    </row>
    <row r="6" spans="1:15" ht="71.25">
      <c r="K6" s="2" t="s">
        <v>3</v>
      </c>
      <c r="L6" s="7" t="s">
        <v>303</v>
      </c>
      <c r="M6" s="8"/>
      <c r="N6" s="8"/>
      <c r="O6" s="9"/>
    </row>
    <row r="7" spans="1:15" ht="15">
      <c r="K7" s="2" t="s">
        <v>4</v>
      </c>
      <c r="L7" s="7">
        <v>1.1000000000000001</v>
      </c>
      <c r="M7" s="8"/>
      <c r="N7" s="8"/>
      <c r="O7" s="9"/>
    </row>
    <row r="8" spans="1:15" ht="28.5">
      <c r="K8" s="3" t="s">
        <v>6</v>
      </c>
      <c r="L8" s="10" t="s">
        <v>7</v>
      </c>
      <c r="M8" s="11"/>
      <c r="N8" s="11"/>
      <c r="O8" s="12"/>
    </row>
    <row r="11" spans="1:15" ht="15">
      <c r="K11" s="72" t="s">
        <v>8</v>
      </c>
      <c r="L11" s="73"/>
      <c r="M11" s="73"/>
      <c r="N11" s="73"/>
      <c r="O11" s="74"/>
    </row>
    <row r="12" spans="1:15" ht="15">
      <c r="K12" s="14" t="s">
        <v>4</v>
      </c>
      <c r="L12" s="15" t="s">
        <v>9</v>
      </c>
      <c r="M12" s="15" t="s">
        <v>10</v>
      </c>
      <c r="N12" s="15" t="s">
        <v>11</v>
      </c>
      <c r="O12" s="16" t="s">
        <v>12</v>
      </c>
    </row>
    <row r="13" spans="1:15" ht="42.75">
      <c r="K13" s="17" t="s">
        <v>5</v>
      </c>
      <c r="L13" s="20">
        <v>46305</v>
      </c>
      <c r="M13" s="18" t="s">
        <v>2</v>
      </c>
      <c r="N13" s="18" t="s">
        <v>13</v>
      </c>
      <c r="O13" s="19" t="s">
        <v>14</v>
      </c>
    </row>
    <row r="14" spans="1:15" ht="42.75" customHeight="1">
      <c r="A14" s="71" t="s">
        <v>304</v>
      </c>
      <c r="B14" s="71"/>
      <c r="C14" s="71"/>
      <c r="D14" s="71"/>
      <c r="E14" s="71"/>
      <c r="F14" s="71"/>
      <c r="K14" s="17">
        <v>1.1000000000000001</v>
      </c>
      <c r="L14" s="20">
        <v>46311</v>
      </c>
      <c r="M14" s="18" t="s">
        <v>2</v>
      </c>
      <c r="N14" s="18" t="s">
        <v>305</v>
      </c>
      <c r="O14" s="19" t="s">
        <v>306</v>
      </c>
    </row>
    <row r="15" spans="1:15">
      <c r="A15" s="71"/>
      <c r="B15" s="71"/>
      <c r="C15" s="71"/>
      <c r="D15" s="71"/>
      <c r="E15" s="71"/>
      <c r="F15" s="71"/>
    </row>
    <row r="16" spans="1:15">
      <c r="A16" s="71"/>
      <c r="B16" s="71"/>
      <c r="C16" s="71"/>
      <c r="D16" s="71"/>
      <c r="E16" s="71"/>
      <c r="F16" s="71"/>
    </row>
    <row r="17" spans="1:6">
      <c r="A17" s="71"/>
      <c r="B17" s="71"/>
      <c r="C17" s="71"/>
      <c r="D17" s="71"/>
      <c r="E17" s="71"/>
      <c r="F17" s="71"/>
    </row>
    <row r="18" spans="1:6">
      <c r="A18" s="71"/>
      <c r="B18" s="71"/>
      <c r="C18" s="71"/>
      <c r="D18" s="71"/>
      <c r="E18" s="71"/>
      <c r="F18" s="71"/>
    </row>
    <row r="19" spans="1:6">
      <c r="A19" s="71"/>
      <c r="B19" s="71"/>
      <c r="C19" s="71"/>
      <c r="D19" s="71"/>
      <c r="E19" s="71"/>
      <c r="F19" s="71"/>
    </row>
    <row r="20" spans="1:6">
      <c r="A20" s="71"/>
      <c r="B20" s="71"/>
      <c r="C20" s="71"/>
      <c r="D20" s="71"/>
      <c r="E20" s="71"/>
      <c r="F20" s="71"/>
    </row>
    <row r="21" spans="1:6">
      <c r="A21" s="71"/>
      <c r="B21" s="71"/>
      <c r="C21" s="71"/>
      <c r="D21" s="71"/>
      <c r="E21" s="71"/>
      <c r="F21" s="71"/>
    </row>
    <row r="22" spans="1:6">
      <c r="A22" s="71"/>
      <c r="B22" s="71"/>
      <c r="C22" s="71"/>
      <c r="D22" s="71"/>
      <c r="E22" s="71"/>
      <c r="F22" s="71"/>
    </row>
    <row r="23" spans="1:6">
      <c r="A23" s="71"/>
      <c r="B23" s="71"/>
      <c r="C23" s="71"/>
      <c r="D23" s="71"/>
      <c r="E23" s="71"/>
      <c r="F23" s="71"/>
    </row>
    <row r="24" spans="1:6">
      <c r="A24" s="71"/>
      <c r="B24" s="71"/>
      <c r="C24" s="71"/>
      <c r="D24" s="71"/>
      <c r="E24" s="71"/>
      <c r="F24" s="71"/>
    </row>
    <row r="25" spans="1:6">
      <c r="A25" s="71"/>
      <c r="B25" s="71"/>
      <c r="C25" s="71"/>
      <c r="D25" s="71"/>
      <c r="E25" s="71"/>
      <c r="F25" s="71"/>
    </row>
    <row r="45" spans="11:15" ht="15">
      <c r="K45" s="72" t="s">
        <v>15</v>
      </c>
      <c r="L45" s="73"/>
      <c r="M45" s="73"/>
      <c r="N45" s="73"/>
      <c r="O45" s="74"/>
    </row>
    <row r="46" spans="11:15" ht="15">
      <c r="K46" s="14" t="s">
        <v>9</v>
      </c>
      <c r="L46" s="15" t="s">
        <v>16</v>
      </c>
      <c r="M46" s="15" t="s">
        <v>17</v>
      </c>
      <c r="N46" s="15" t="s">
        <v>18</v>
      </c>
      <c r="O46" s="16" t="s">
        <v>12</v>
      </c>
    </row>
    <row r="47" spans="11:15">
      <c r="K47" s="21"/>
      <c r="L47" s="22"/>
      <c r="M47" s="22" t="s">
        <v>19</v>
      </c>
      <c r="N47" s="22" t="s">
        <v>20</v>
      </c>
      <c r="O47" s="23"/>
    </row>
  </sheetData>
  <mergeCells count="3">
    <mergeCell ref="A14:F25"/>
    <mergeCell ref="K11:O11"/>
    <mergeCell ref="K45:O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pane ySplit="2" topLeftCell="A3" activePane="bottomLeft" state="frozen"/>
      <selection pane="bottomLeft"/>
    </sheetView>
  </sheetViews>
  <sheetFormatPr defaultRowHeight="14.25"/>
  <cols>
    <col min="1" max="2" width="12" customWidth="1"/>
    <col min="3" max="3" width="24" customWidth="1"/>
    <col min="4" max="4" width="22" customWidth="1"/>
    <col min="5" max="5" width="30" customWidth="1"/>
    <col min="6" max="6" width="52" customWidth="1"/>
    <col min="7" max="7" width="14" customWidth="1"/>
    <col min="8" max="9" width="12" customWidth="1"/>
    <col min="10" max="10" width="18" customWidth="1"/>
    <col min="11" max="11" width="10" customWidth="1"/>
    <col min="12" max="12" width="60" customWidth="1"/>
    <col min="13" max="13" width="22" customWidth="1"/>
    <col min="14" max="14" width="18" customWidth="1"/>
  </cols>
  <sheetData>
    <row r="1" spans="1:14" ht="33.75">
      <c r="A1" s="75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28.5">
      <c r="A2" s="24" t="s">
        <v>22</v>
      </c>
      <c r="B2" s="25" t="s">
        <v>23</v>
      </c>
      <c r="C2" s="25" t="s">
        <v>24</v>
      </c>
      <c r="D2" s="25" t="s">
        <v>25</v>
      </c>
      <c r="E2" s="25" t="s">
        <v>26</v>
      </c>
      <c r="F2" s="25" t="s">
        <v>27</v>
      </c>
      <c r="G2" s="25" t="s">
        <v>28</v>
      </c>
      <c r="H2" s="25" t="s">
        <v>29</v>
      </c>
      <c r="I2" s="25" t="s">
        <v>30</v>
      </c>
      <c r="J2" s="25" t="s">
        <v>31</v>
      </c>
      <c r="K2" s="25" t="s">
        <v>32</v>
      </c>
      <c r="L2" s="25" t="s">
        <v>33</v>
      </c>
      <c r="M2" s="25" t="s">
        <v>12</v>
      </c>
      <c r="N2" s="26" t="s">
        <v>18</v>
      </c>
    </row>
    <row r="3" spans="1:14" ht="78" customHeight="1">
      <c r="A3" s="30" t="s">
        <v>34</v>
      </c>
      <c r="B3" s="31" t="s">
        <v>35</v>
      </c>
      <c r="C3" s="31" t="s">
        <v>36</v>
      </c>
      <c r="D3" s="31" t="s">
        <v>37</v>
      </c>
      <c r="E3" s="31" t="s">
        <v>38</v>
      </c>
      <c r="F3" s="27" t="s">
        <v>39</v>
      </c>
      <c r="G3" s="31" t="s">
        <v>40</v>
      </c>
      <c r="H3" s="31">
        <v>2</v>
      </c>
      <c r="I3" s="31">
        <v>4</v>
      </c>
      <c r="J3" s="31" t="s">
        <v>41</v>
      </c>
      <c r="K3" s="31" t="s">
        <v>42</v>
      </c>
      <c r="L3" s="27" t="s">
        <v>43</v>
      </c>
      <c r="M3" s="27" t="s">
        <v>95</v>
      </c>
      <c r="N3" s="36" t="s">
        <v>44</v>
      </c>
    </row>
    <row r="4" spans="1:14" ht="78" customHeight="1">
      <c r="A4" s="32" t="s">
        <v>45</v>
      </c>
      <c r="B4" s="33" t="s">
        <v>46</v>
      </c>
      <c r="C4" s="33" t="s">
        <v>47</v>
      </c>
      <c r="D4" s="33" t="s">
        <v>37</v>
      </c>
      <c r="E4" s="33" t="s">
        <v>48</v>
      </c>
      <c r="F4" s="28" t="s">
        <v>49</v>
      </c>
      <c r="G4" s="33" t="s">
        <v>40</v>
      </c>
      <c r="H4" s="33">
        <v>3</v>
      </c>
      <c r="I4" s="33">
        <v>6</v>
      </c>
      <c r="J4" s="33" t="s">
        <v>41</v>
      </c>
      <c r="K4" s="33" t="s">
        <v>42</v>
      </c>
      <c r="L4" s="28" t="s">
        <v>50</v>
      </c>
      <c r="M4" s="28" t="s">
        <v>95</v>
      </c>
      <c r="N4" s="37" t="s">
        <v>44</v>
      </c>
    </row>
    <row r="5" spans="1:14" ht="78" customHeight="1">
      <c r="A5" s="32" t="s">
        <v>51</v>
      </c>
      <c r="B5" s="33" t="s">
        <v>52</v>
      </c>
      <c r="C5" s="33" t="s">
        <v>53</v>
      </c>
      <c r="D5" s="33" t="s">
        <v>54</v>
      </c>
      <c r="E5" s="33" t="s">
        <v>55</v>
      </c>
      <c r="F5" s="28" t="s">
        <v>56</v>
      </c>
      <c r="G5" s="33" t="s">
        <v>40</v>
      </c>
      <c r="H5" s="33">
        <v>5</v>
      </c>
      <c r="I5" s="33">
        <v>10</v>
      </c>
      <c r="J5" s="33" t="s">
        <v>41</v>
      </c>
      <c r="K5" s="33" t="s">
        <v>42</v>
      </c>
      <c r="L5" s="28" t="s">
        <v>57</v>
      </c>
      <c r="M5" s="28" t="s">
        <v>95</v>
      </c>
      <c r="N5" s="37" t="s">
        <v>44</v>
      </c>
    </row>
    <row r="6" spans="1:14" ht="78" customHeight="1">
      <c r="A6" s="32" t="s">
        <v>58</v>
      </c>
      <c r="B6" s="33" t="s">
        <v>59</v>
      </c>
      <c r="C6" s="33" t="s">
        <v>53</v>
      </c>
      <c r="D6" s="33" t="s">
        <v>54</v>
      </c>
      <c r="E6" s="33" t="s">
        <v>60</v>
      </c>
      <c r="F6" s="28" t="s">
        <v>61</v>
      </c>
      <c r="G6" s="33" t="s">
        <v>40</v>
      </c>
      <c r="H6" s="33">
        <v>5</v>
      </c>
      <c r="I6" s="33">
        <v>10</v>
      </c>
      <c r="J6" s="33" t="s">
        <v>41</v>
      </c>
      <c r="K6" s="33" t="s">
        <v>42</v>
      </c>
      <c r="L6" s="28" t="s">
        <v>62</v>
      </c>
      <c r="M6" s="28" t="s">
        <v>95</v>
      </c>
      <c r="N6" s="37" t="s">
        <v>44</v>
      </c>
    </row>
    <row r="7" spans="1:14" ht="78" customHeight="1">
      <c r="A7" s="32" t="s">
        <v>63</v>
      </c>
      <c r="B7" s="33" t="s">
        <v>64</v>
      </c>
      <c r="C7" s="33" t="s">
        <v>65</v>
      </c>
      <c r="D7" s="33" t="s">
        <v>54</v>
      </c>
      <c r="E7" s="33" t="s">
        <v>66</v>
      </c>
      <c r="F7" s="28" t="s">
        <v>67</v>
      </c>
      <c r="G7" s="33" t="s">
        <v>40</v>
      </c>
      <c r="H7" s="33">
        <v>3</v>
      </c>
      <c r="I7" s="33">
        <v>6</v>
      </c>
      <c r="J7" s="33" t="s">
        <v>68</v>
      </c>
      <c r="K7" s="33" t="s">
        <v>69</v>
      </c>
      <c r="L7" s="28" t="s">
        <v>70</v>
      </c>
      <c r="M7" s="28" t="s">
        <v>71</v>
      </c>
      <c r="N7" s="37" t="s">
        <v>44</v>
      </c>
    </row>
    <row r="8" spans="1:14" ht="78" customHeight="1">
      <c r="A8" s="32" t="s">
        <v>72</v>
      </c>
      <c r="B8" s="33" t="s">
        <v>73</v>
      </c>
      <c r="C8" s="33" t="s">
        <v>74</v>
      </c>
      <c r="D8" s="33" t="s">
        <v>75</v>
      </c>
      <c r="E8" s="33" t="s">
        <v>76</v>
      </c>
      <c r="F8" s="28" t="s">
        <v>77</v>
      </c>
      <c r="G8" s="33" t="s">
        <v>40</v>
      </c>
      <c r="H8" s="33">
        <v>5</v>
      </c>
      <c r="I8" s="33">
        <v>10</v>
      </c>
      <c r="J8" s="33" t="s">
        <v>41</v>
      </c>
      <c r="K8" s="33" t="s">
        <v>42</v>
      </c>
      <c r="L8" s="28" t="s">
        <v>78</v>
      </c>
      <c r="M8" s="28" t="s">
        <v>95</v>
      </c>
      <c r="N8" s="37" t="s">
        <v>44</v>
      </c>
    </row>
    <row r="9" spans="1:14" ht="78" customHeight="1">
      <c r="A9" s="32" t="s">
        <v>79</v>
      </c>
      <c r="B9" s="33" t="s">
        <v>80</v>
      </c>
      <c r="C9" s="33" t="s">
        <v>74</v>
      </c>
      <c r="D9" s="33" t="s">
        <v>75</v>
      </c>
      <c r="E9" s="33" t="s">
        <v>81</v>
      </c>
      <c r="F9" s="28" t="s">
        <v>82</v>
      </c>
      <c r="G9" s="33" t="s">
        <v>40</v>
      </c>
      <c r="H9" s="33">
        <v>5</v>
      </c>
      <c r="I9" s="33">
        <v>10</v>
      </c>
      <c r="J9" s="33" t="s">
        <v>41</v>
      </c>
      <c r="K9" s="33" t="s">
        <v>42</v>
      </c>
      <c r="L9" s="28" t="s">
        <v>83</v>
      </c>
      <c r="M9" s="28" t="s">
        <v>95</v>
      </c>
      <c r="N9" s="37" t="s">
        <v>44</v>
      </c>
    </row>
    <row r="10" spans="1:14" ht="78" customHeight="1">
      <c r="A10" s="32" t="s">
        <v>84</v>
      </c>
      <c r="B10" s="33" t="s">
        <v>85</v>
      </c>
      <c r="C10" s="33" t="s">
        <v>86</v>
      </c>
      <c r="D10" s="33" t="s">
        <v>75</v>
      </c>
      <c r="E10" s="33" t="s">
        <v>87</v>
      </c>
      <c r="F10" s="28" t="s">
        <v>88</v>
      </c>
      <c r="G10" s="33" t="s">
        <v>40</v>
      </c>
      <c r="H10" s="33">
        <v>8</v>
      </c>
      <c r="I10" s="33">
        <v>16</v>
      </c>
      <c r="J10" s="33" t="s">
        <v>41</v>
      </c>
      <c r="K10" s="33" t="s">
        <v>42</v>
      </c>
      <c r="L10" s="28" t="s">
        <v>89</v>
      </c>
      <c r="M10" s="28" t="s">
        <v>95</v>
      </c>
      <c r="N10" s="37" t="s">
        <v>44</v>
      </c>
    </row>
    <row r="11" spans="1:14" ht="78" customHeight="1">
      <c r="A11" s="32" t="s">
        <v>90</v>
      </c>
      <c r="B11" s="33" t="s">
        <v>91</v>
      </c>
      <c r="C11" s="33" t="s">
        <v>74</v>
      </c>
      <c r="D11" s="33" t="s">
        <v>75</v>
      </c>
      <c r="E11" s="33" t="s">
        <v>92</v>
      </c>
      <c r="F11" s="28" t="s">
        <v>93</v>
      </c>
      <c r="G11" s="33" t="s">
        <v>40</v>
      </c>
      <c r="H11" s="33">
        <v>3</v>
      </c>
      <c r="I11" s="33">
        <v>6</v>
      </c>
      <c r="J11" s="33" t="s">
        <v>41</v>
      </c>
      <c r="K11" s="33" t="s">
        <v>94</v>
      </c>
      <c r="L11" s="28" t="s">
        <v>301</v>
      </c>
      <c r="M11" s="28" t="s">
        <v>300</v>
      </c>
      <c r="N11" s="37" t="s">
        <v>44</v>
      </c>
    </row>
    <row r="12" spans="1:14" ht="78" customHeight="1">
      <c r="A12" s="32" t="s">
        <v>96</v>
      </c>
      <c r="B12" s="33" t="s">
        <v>97</v>
      </c>
      <c r="C12" s="33" t="s">
        <v>74</v>
      </c>
      <c r="D12" s="33" t="s">
        <v>75</v>
      </c>
      <c r="E12" s="33" t="s">
        <v>98</v>
      </c>
      <c r="F12" s="28" t="s">
        <v>99</v>
      </c>
      <c r="G12" s="33" t="s">
        <v>40</v>
      </c>
      <c r="H12" s="33">
        <v>3</v>
      </c>
      <c r="I12" s="33">
        <v>6</v>
      </c>
      <c r="J12" s="33" t="s">
        <v>41</v>
      </c>
      <c r="K12" s="33" t="s">
        <v>94</v>
      </c>
      <c r="L12" s="28" t="s">
        <v>100</v>
      </c>
      <c r="M12" s="28" t="s">
        <v>300</v>
      </c>
      <c r="N12" s="37" t="s">
        <v>44</v>
      </c>
    </row>
    <row r="13" spans="1:14" ht="78" customHeight="1">
      <c r="A13" s="32" t="s">
        <v>101</v>
      </c>
      <c r="B13" s="33" t="s">
        <v>102</v>
      </c>
      <c r="C13" s="33" t="s">
        <v>36</v>
      </c>
      <c r="D13" s="33" t="s">
        <v>75</v>
      </c>
      <c r="E13" s="33" t="s">
        <v>103</v>
      </c>
      <c r="F13" s="28" t="s">
        <v>104</v>
      </c>
      <c r="G13" s="33" t="s">
        <v>40</v>
      </c>
      <c r="H13" s="33">
        <v>3</v>
      </c>
      <c r="I13" s="33">
        <v>6</v>
      </c>
      <c r="J13" s="33" t="s">
        <v>105</v>
      </c>
      <c r="K13" s="33" t="s">
        <v>106</v>
      </c>
      <c r="L13" s="28" t="s">
        <v>107</v>
      </c>
      <c r="M13" s="28" t="s">
        <v>108</v>
      </c>
      <c r="N13" s="37" t="s">
        <v>44</v>
      </c>
    </row>
    <row r="14" spans="1:14" ht="78" customHeight="1">
      <c r="A14" s="32" t="s">
        <v>109</v>
      </c>
      <c r="B14" s="33" t="s">
        <v>110</v>
      </c>
      <c r="C14" s="33" t="s">
        <v>111</v>
      </c>
      <c r="D14" s="33" t="s">
        <v>112</v>
      </c>
      <c r="E14" s="33" t="s">
        <v>113</v>
      </c>
      <c r="F14" s="28" t="s">
        <v>114</v>
      </c>
      <c r="G14" s="33" t="s">
        <v>40</v>
      </c>
      <c r="H14" s="33">
        <v>8</v>
      </c>
      <c r="I14" s="33">
        <v>16</v>
      </c>
      <c r="J14" s="33" t="s">
        <v>41</v>
      </c>
      <c r="K14" s="33" t="s">
        <v>94</v>
      </c>
      <c r="L14" s="28" t="s">
        <v>302</v>
      </c>
      <c r="M14" s="28" t="s">
        <v>300</v>
      </c>
      <c r="N14" s="37" t="s">
        <v>44</v>
      </c>
    </row>
    <row r="15" spans="1:14" ht="78" customHeight="1">
      <c r="A15" s="32" t="s">
        <v>115</v>
      </c>
      <c r="B15" s="33" t="s">
        <v>116</v>
      </c>
      <c r="C15" s="33" t="s">
        <v>117</v>
      </c>
      <c r="D15" s="33" t="s">
        <v>112</v>
      </c>
      <c r="E15" s="33" t="s">
        <v>118</v>
      </c>
      <c r="F15" s="28" t="s">
        <v>119</v>
      </c>
      <c r="G15" s="33" t="s">
        <v>40</v>
      </c>
      <c r="H15" s="33">
        <v>5</v>
      </c>
      <c r="I15" s="33">
        <v>10</v>
      </c>
      <c r="J15" s="33" t="s">
        <v>41</v>
      </c>
      <c r="K15" s="33" t="s">
        <v>94</v>
      </c>
      <c r="L15" s="28" t="s">
        <v>120</v>
      </c>
      <c r="M15" s="28" t="s">
        <v>300</v>
      </c>
      <c r="N15" s="37" t="s">
        <v>44</v>
      </c>
    </row>
    <row r="16" spans="1:14" ht="78" customHeight="1">
      <c r="A16" s="32" t="s">
        <v>121</v>
      </c>
      <c r="B16" s="33" t="s">
        <v>122</v>
      </c>
      <c r="C16" s="33" t="s">
        <v>86</v>
      </c>
      <c r="D16" s="33" t="s">
        <v>123</v>
      </c>
      <c r="E16" s="33" t="s">
        <v>124</v>
      </c>
      <c r="F16" s="28" t="s">
        <v>125</v>
      </c>
      <c r="G16" s="33" t="s">
        <v>40</v>
      </c>
      <c r="H16" s="33">
        <v>3</v>
      </c>
      <c r="I16" s="33">
        <v>6</v>
      </c>
      <c r="J16" s="33" t="s">
        <v>68</v>
      </c>
      <c r="K16" s="33" t="s">
        <v>126</v>
      </c>
      <c r="L16" s="28" t="s">
        <v>127</v>
      </c>
      <c r="M16" s="28" t="s">
        <v>71</v>
      </c>
      <c r="N16" s="37" t="s">
        <v>44</v>
      </c>
    </row>
    <row r="17" spans="1:14" ht="78" customHeight="1">
      <c r="A17" s="32" t="s">
        <v>128</v>
      </c>
      <c r="B17" s="33" t="s">
        <v>129</v>
      </c>
      <c r="C17" s="33" t="s">
        <v>74</v>
      </c>
      <c r="D17" s="33" t="s">
        <v>123</v>
      </c>
      <c r="E17" s="33" t="s">
        <v>130</v>
      </c>
      <c r="F17" s="28" t="s">
        <v>131</v>
      </c>
      <c r="G17" s="33" t="s">
        <v>40</v>
      </c>
      <c r="H17" s="33">
        <v>3</v>
      </c>
      <c r="I17" s="33">
        <v>6</v>
      </c>
      <c r="J17" s="33" t="s">
        <v>68</v>
      </c>
      <c r="K17" s="33" t="s">
        <v>132</v>
      </c>
      <c r="L17" s="28" t="s">
        <v>133</v>
      </c>
      <c r="M17" s="28" t="s">
        <v>71</v>
      </c>
      <c r="N17" s="37" t="s">
        <v>44</v>
      </c>
    </row>
    <row r="18" spans="1:14" ht="78" customHeight="1">
      <c r="A18" s="32" t="s">
        <v>134</v>
      </c>
      <c r="B18" s="33" t="s">
        <v>135</v>
      </c>
      <c r="C18" s="33" t="s">
        <v>136</v>
      </c>
      <c r="D18" s="33" t="s">
        <v>112</v>
      </c>
      <c r="E18" s="33" t="s">
        <v>137</v>
      </c>
      <c r="F18" s="28" t="s">
        <v>138</v>
      </c>
      <c r="G18" s="33" t="s">
        <v>40</v>
      </c>
      <c r="H18" s="33">
        <v>8</v>
      </c>
      <c r="I18" s="33">
        <v>16</v>
      </c>
      <c r="J18" s="33" t="s">
        <v>105</v>
      </c>
      <c r="K18" s="33" t="s">
        <v>106</v>
      </c>
      <c r="L18" s="28" t="s">
        <v>139</v>
      </c>
      <c r="M18" s="28" t="s">
        <v>108</v>
      </c>
      <c r="N18" s="37" t="s">
        <v>44</v>
      </c>
    </row>
    <row r="19" spans="1:14" ht="78" customHeight="1">
      <c r="A19" s="32" t="s">
        <v>140</v>
      </c>
      <c r="B19" s="33" t="s">
        <v>141</v>
      </c>
      <c r="C19" s="33" t="s">
        <v>53</v>
      </c>
      <c r="D19" s="33" t="s">
        <v>142</v>
      </c>
      <c r="E19" s="33" t="s">
        <v>143</v>
      </c>
      <c r="F19" s="28" t="s">
        <v>144</v>
      </c>
      <c r="G19" s="33" t="s">
        <v>40</v>
      </c>
      <c r="H19" s="33">
        <v>5</v>
      </c>
      <c r="I19" s="33">
        <v>10</v>
      </c>
      <c r="J19" s="33" t="s">
        <v>68</v>
      </c>
      <c r="K19" s="33" t="s">
        <v>132</v>
      </c>
      <c r="L19" s="28" t="s">
        <v>145</v>
      </c>
      <c r="M19" s="28" t="s">
        <v>71</v>
      </c>
      <c r="N19" s="37" t="s">
        <v>44</v>
      </c>
    </row>
    <row r="20" spans="1:14" ht="78" customHeight="1">
      <c r="A20" s="32" t="s">
        <v>146</v>
      </c>
      <c r="B20" s="33" t="s">
        <v>147</v>
      </c>
      <c r="C20" s="33" t="s">
        <v>74</v>
      </c>
      <c r="D20" s="33" t="s">
        <v>142</v>
      </c>
      <c r="E20" s="33" t="s">
        <v>148</v>
      </c>
      <c r="F20" s="28" t="s">
        <v>149</v>
      </c>
      <c r="G20" s="33" t="s">
        <v>40</v>
      </c>
      <c r="H20" s="33">
        <v>3</v>
      </c>
      <c r="I20" s="33">
        <v>6</v>
      </c>
      <c r="J20" s="33" t="s">
        <v>68</v>
      </c>
      <c r="K20" s="33" t="s">
        <v>69</v>
      </c>
      <c r="L20" s="28" t="s">
        <v>150</v>
      </c>
      <c r="M20" s="28" t="s">
        <v>71</v>
      </c>
      <c r="N20" s="37" t="s">
        <v>44</v>
      </c>
    </row>
    <row r="21" spans="1:14" ht="78" customHeight="1">
      <c r="A21" s="32" t="s">
        <v>151</v>
      </c>
      <c r="B21" s="33" t="s">
        <v>152</v>
      </c>
      <c r="C21" s="33" t="s">
        <v>74</v>
      </c>
      <c r="D21" s="33" t="s">
        <v>142</v>
      </c>
      <c r="E21" s="33" t="s">
        <v>153</v>
      </c>
      <c r="F21" s="28" t="s">
        <v>154</v>
      </c>
      <c r="G21" s="33" t="s">
        <v>40</v>
      </c>
      <c r="H21" s="33">
        <v>5</v>
      </c>
      <c r="I21" s="33">
        <v>10</v>
      </c>
      <c r="J21" s="33" t="s">
        <v>68</v>
      </c>
      <c r="K21" s="33" t="s">
        <v>69</v>
      </c>
      <c r="L21" s="28" t="s">
        <v>155</v>
      </c>
      <c r="M21" s="28" t="s">
        <v>71</v>
      </c>
      <c r="N21" s="37" t="s">
        <v>44</v>
      </c>
    </row>
    <row r="22" spans="1:14" ht="78" customHeight="1">
      <c r="A22" s="32" t="s">
        <v>156</v>
      </c>
      <c r="B22" s="33" t="s">
        <v>157</v>
      </c>
      <c r="C22" s="33" t="s">
        <v>53</v>
      </c>
      <c r="D22" s="33" t="s">
        <v>158</v>
      </c>
      <c r="E22" s="33" t="s">
        <v>159</v>
      </c>
      <c r="F22" s="28" t="s">
        <v>160</v>
      </c>
      <c r="G22" s="33" t="s">
        <v>40</v>
      </c>
      <c r="H22" s="33">
        <v>5</v>
      </c>
      <c r="I22" s="33">
        <v>10</v>
      </c>
      <c r="J22" s="33" t="s">
        <v>105</v>
      </c>
      <c r="K22" s="33" t="s">
        <v>106</v>
      </c>
      <c r="L22" s="28" t="s">
        <v>161</v>
      </c>
      <c r="M22" s="28" t="s">
        <v>108</v>
      </c>
      <c r="N22" s="37" t="s">
        <v>44</v>
      </c>
    </row>
    <row r="23" spans="1:14" ht="78" customHeight="1">
      <c r="A23" s="32" t="s">
        <v>162</v>
      </c>
      <c r="B23" s="33" t="s">
        <v>163</v>
      </c>
      <c r="C23" s="33" t="s">
        <v>47</v>
      </c>
      <c r="D23" s="33" t="s">
        <v>164</v>
      </c>
      <c r="E23" s="33" t="s">
        <v>165</v>
      </c>
      <c r="F23" s="28" t="s">
        <v>166</v>
      </c>
      <c r="G23" s="33" t="s">
        <v>40</v>
      </c>
      <c r="H23" s="33">
        <v>3</v>
      </c>
      <c r="I23" s="33">
        <v>6</v>
      </c>
      <c r="J23" s="33" t="s">
        <v>68</v>
      </c>
      <c r="K23" s="33" t="s">
        <v>126</v>
      </c>
      <c r="L23" s="28" t="s">
        <v>167</v>
      </c>
      <c r="M23" s="28" t="s">
        <v>71</v>
      </c>
      <c r="N23" s="37" t="s">
        <v>44</v>
      </c>
    </row>
    <row r="24" spans="1:14" ht="78" customHeight="1">
      <c r="A24" s="34" t="s">
        <v>168</v>
      </c>
      <c r="B24" s="35" t="s">
        <v>169</v>
      </c>
      <c r="C24" s="35" t="s">
        <v>136</v>
      </c>
      <c r="D24" s="35" t="s">
        <v>164</v>
      </c>
      <c r="E24" s="35" t="s">
        <v>170</v>
      </c>
      <c r="F24" s="29" t="s">
        <v>171</v>
      </c>
      <c r="G24" s="35" t="s">
        <v>40</v>
      </c>
      <c r="H24" s="35">
        <v>5</v>
      </c>
      <c r="I24" s="35">
        <v>10</v>
      </c>
      <c r="J24" s="35" t="s">
        <v>105</v>
      </c>
      <c r="K24" s="35" t="s">
        <v>106</v>
      </c>
      <c r="L24" s="29" t="s">
        <v>172</v>
      </c>
      <c r="M24" s="29" t="s">
        <v>108</v>
      </c>
      <c r="N24" s="38" t="s">
        <v>44</v>
      </c>
    </row>
    <row r="27" spans="1:14" ht="15">
      <c r="A27" s="39" t="s">
        <v>173</v>
      </c>
      <c r="B27" s="40" t="s">
        <v>174</v>
      </c>
      <c r="C27" s="40" t="s">
        <v>29</v>
      </c>
      <c r="D27" s="40" t="s">
        <v>30</v>
      </c>
      <c r="E27" s="41"/>
      <c r="F27" s="40" t="s">
        <v>175</v>
      </c>
      <c r="G27" s="40" t="s">
        <v>174</v>
      </c>
      <c r="H27" s="40" t="s">
        <v>29</v>
      </c>
      <c r="I27" s="42" t="s">
        <v>30</v>
      </c>
    </row>
    <row r="28" spans="1:14" ht="15">
      <c r="A28" s="43" t="s">
        <v>41</v>
      </c>
      <c r="B28" s="44">
        <f>COUNTIF($J$3:$J$24,A28)</f>
        <v>11</v>
      </c>
      <c r="C28" s="44">
        <f>SUMIF($J$3:$J$24,A28,$H$3:$H$24)</f>
        <v>52</v>
      </c>
      <c r="D28" s="44">
        <f>SUMIF($J$3:$J$24,A28,$I$3:$I$24)</f>
        <v>104</v>
      </c>
      <c r="E28" s="45"/>
      <c r="F28" s="46" t="s">
        <v>42</v>
      </c>
      <c r="G28" s="44">
        <f>COUNTIF($K$3:$K$24,F28&amp;"*")</f>
        <v>7</v>
      </c>
      <c r="H28" s="44">
        <f>SUMIF($K$3:$K$24,F28&amp;"*",$H$3:$H$24)</f>
        <v>33</v>
      </c>
      <c r="I28" s="47">
        <f>SUMIF($K$3:$K$24,F28&amp;"*",$I$3:$I$24)</f>
        <v>66</v>
      </c>
    </row>
    <row r="29" spans="1:14" ht="15">
      <c r="A29" s="43" t="s">
        <v>68</v>
      </c>
      <c r="B29" s="44">
        <f>COUNTIF($J$3:$J$24,A29)</f>
        <v>7</v>
      </c>
      <c r="C29" s="44">
        <f>SUMIF($J$3:$J$24,A29,$H$3:$H$24)</f>
        <v>25</v>
      </c>
      <c r="D29" s="44">
        <f>SUMIF($J$3:$J$24,A29,$I$3:$I$24)</f>
        <v>50</v>
      </c>
      <c r="E29" s="45"/>
      <c r="F29" s="46" t="s">
        <v>94</v>
      </c>
      <c r="G29" s="44">
        <f>COUNTIF($K$3:$K$24,F29&amp;"*")</f>
        <v>4</v>
      </c>
      <c r="H29" s="44">
        <f>SUMIF($K$3:$K$24,F29&amp;"*",$H$3:$H$24)</f>
        <v>19</v>
      </c>
      <c r="I29" s="47">
        <f>SUMIF($K$3:$K$24,F29&amp;"*",$I$3:$I$24)</f>
        <v>38</v>
      </c>
    </row>
    <row r="30" spans="1:14" ht="15">
      <c r="A30" s="43" t="s">
        <v>105</v>
      </c>
      <c r="B30" s="44">
        <f>COUNTIF($J$3:$J$24,A30)</f>
        <v>4</v>
      </c>
      <c r="C30" s="44">
        <f>SUMIF($J$3:$J$24,A30,$H$3:$H$24)</f>
        <v>21</v>
      </c>
      <c r="D30" s="44">
        <f>SUMIF($J$3:$J$24,A30,$I$3:$I$24)</f>
        <v>42</v>
      </c>
      <c r="E30" s="45"/>
      <c r="F30" s="46" t="s">
        <v>126</v>
      </c>
      <c r="G30" s="44">
        <f>COUNTIF($K$3:$K$24,F30&amp;"*")</f>
        <v>2</v>
      </c>
      <c r="H30" s="44">
        <f>SUMIF($K$3:$K$24,F30&amp;"*",$H$3:$H$24)</f>
        <v>6</v>
      </c>
      <c r="I30" s="47">
        <f>SUMIF($K$3:$K$24,F30&amp;"*",$I$3:$I$24)</f>
        <v>12</v>
      </c>
    </row>
    <row r="31" spans="1:14" ht="15">
      <c r="A31" s="43" t="s">
        <v>176</v>
      </c>
      <c r="B31" s="44">
        <f>SUM(B28:B30)</f>
        <v>22</v>
      </c>
      <c r="C31" s="44">
        <f>SUM(C28:C30)</f>
        <v>98</v>
      </c>
      <c r="D31" s="44">
        <f>SUM(D28:D30)</f>
        <v>196</v>
      </c>
      <c r="E31" s="45"/>
      <c r="F31" s="46" t="s">
        <v>132</v>
      </c>
      <c r="G31" s="45">
        <f>COUNTIF($K$3:$K$24,F31&amp;"*")</f>
        <v>5</v>
      </c>
      <c r="H31" s="45">
        <f>SUMIF($K$3:$K$24,F31&amp;"*",$H$3:$H$24)</f>
        <v>19</v>
      </c>
      <c r="I31" s="48">
        <f>SUMIF($K$3:$K$24,F31&amp;"*",$I$3:$I$24)</f>
        <v>38</v>
      </c>
    </row>
    <row r="32" spans="1:14" ht="15">
      <c r="A32" s="49"/>
      <c r="B32" s="50"/>
      <c r="C32" s="50"/>
      <c r="D32" s="50"/>
      <c r="E32" s="50"/>
      <c r="F32" s="51" t="s">
        <v>177</v>
      </c>
      <c r="G32" s="50">
        <f>COUNTIF($K$3:$K$24,"*Stretch*")+COUNTIF($K$3:$K$24,"Mở rộng")</f>
        <v>7</v>
      </c>
      <c r="H32" s="50">
        <f>SUMIF($K$3:$K$24,"*Stretch*",$H$3:$H$24)+SUMIF($K$3:$K$24,"Mở rộng",$H$3:$H$24)</f>
        <v>32</v>
      </c>
      <c r="I32" s="52">
        <f>SUMIF($K$3:$K$24,"*Stretch*",$I$3:$I$24)+SUMIF($K$3:$K$24,"Mở rộng",$I$3:$I$24)</f>
        <v>64</v>
      </c>
    </row>
  </sheetData>
  <mergeCells count="1">
    <mergeCell ref="A1:N1"/>
  </mergeCells>
  <conditionalFormatting sqref="J3:J24">
    <cfRule type="expression" dxfId="7" priority="1">
      <formula>J3="Must"</formula>
    </cfRule>
    <cfRule type="expression" dxfId="6" priority="2">
      <formula>J3="Should"</formula>
    </cfRule>
    <cfRule type="expression" dxfId="5" priority="3">
      <formula>J3="Could"</formula>
    </cfRule>
    <cfRule type="expression" dxfId="4" priority="4">
      <formula>J3="Won't"</formula>
    </cfRule>
  </conditionalFormatting>
  <conditionalFormatting sqref="N3:N24">
    <cfRule type="expression" dxfId="3" priority="5">
      <formula>N3="Chưa thực hiện"</formula>
    </cfRule>
    <cfRule type="expression" dxfId="2" priority="6">
      <formula>N3="Đang thực hiện"</formula>
    </cfRule>
    <cfRule type="expression" dxfId="1" priority="7">
      <formula>N3="Hoàn thành"</formula>
    </cfRule>
    <cfRule type="expression" dxfId="0" priority="8">
      <formula>N3="Tạm hoãn"</formula>
    </cfRule>
  </conditionalFormatting>
  <dataValidations count="2">
    <dataValidation type="list" sqref="J3:J24" xr:uid="{00000000-0002-0000-0100-000000000000}">
      <formula1>"Must,Should,Could,Won't"</formula1>
    </dataValidation>
    <dataValidation type="list" sqref="N3:N24" xr:uid="{00000000-0002-0000-0100-000001000000}">
      <formula1>"Chưa thực hiện,Đang thực hiện,Hoàn thành,Tạm hoãn"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4.25"/>
  <cols>
    <col min="1" max="1" width="26" customWidth="1"/>
    <col min="2" max="2" width="14" customWidth="1"/>
    <col min="4" max="4" width="16" customWidth="1"/>
    <col min="5" max="5" width="12" customWidth="1"/>
    <col min="7" max="7" width="22" customWidth="1"/>
    <col min="8" max="8" width="40" customWidth="1"/>
  </cols>
  <sheetData>
    <row r="1" spans="1:8" ht="32.1" customHeight="1">
      <c r="A1" s="76" t="s">
        <v>178</v>
      </c>
      <c r="B1" s="76"/>
      <c r="C1" s="76"/>
      <c r="D1" s="76"/>
      <c r="E1" s="76"/>
      <c r="F1" s="76"/>
      <c r="G1" s="76"/>
      <c r="H1" s="76"/>
    </row>
    <row r="3" spans="1:8" ht="15">
      <c r="A3" s="53" t="s">
        <v>179</v>
      </c>
      <c r="B3" s="53" t="s">
        <v>180</v>
      </c>
      <c r="C3" s="4"/>
      <c r="D3" s="53" t="s">
        <v>173</v>
      </c>
      <c r="E3" s="53" t="s">
        <v>174</v>
      </c>
      <c r="F3" s="4"/>
      <c r="G3" s="53" t="s">
        <v>175</v>
      </c>
      <c r="H3" s="53" t="s">
        <v>181</v>
      </c>
    </row>
    <row r="4" spans="1:8">
      <c r="A4" s="54" t="s">
        <v>182</v>
      </c>
      <c r="B4" s="55">
        <f>COUNTA('2. Product Backlog'!$A$3:$A$24)</f>
        <v>22</v>
      </c>
      <c r="C4" s="4"/>
      <c r="D4" s="4" t="s">
        <v>41</v>
      </c>
      <c r="E4" s="4">
        <f>COUNTIF('2. Product Backlog'!$J$3:$J$24,D4)</f>
        <v>11</v>
      </c>
      <c r="F4" s="4"/>
      <c r="G4" s="4" t="s">
        <v>183</v>
      </c>
      <c r="H4" s="4" t="s">
        <v>184</v>
      </c>
    </row>
    <row r="5" spans="1:8">
      <c r="A5" s="56" t="s">
        <v>185</v>
      </c>
      <c r="B5" s="57">
        <f>COUNTIF('2. Product Backlog'!$J$3:$J$24,"Must")</f>
        <v>11</v>
      </c>
      <c r="C5" s="4"/>
      <c r="D5" s="4" t="s">
        <v>68</v>
      </c>
      <c r="E5" s="4">
        <f>COUNTIF('2. Product Backlog'!$J$3:$J$24,D5)</f>
        <v>7</v>
      </c>
      <c r="F5" s="4"/>
      <c r="G5" s="4" t="s">
        <v>186</v>
      </c>
      <c r="H5" s="4" t="s">
        <v>187</v>
      </c>
    </row>
    <row r="6" spans="1:8">
      <c r="A6" s="56" t="s">
        <v>188</v>
      </c>
      <c r="B6" s="57">
        <f>COUNTIF('2. Product Backlog'!$J$3:$J$24,"Should")</f>
        <v>7</v>
      </c>
      <c r="C6" s="4"/>
      <c r="D6" s="4" t="s">
        <v>105</v>
      </c>
      <c r="E6" s="4">
        <f>COUNTIF('2. Product Backlog'!$J$3:$J$24,D6)</f>
        <v>4</v>
      </c>
      <c r="F6" s="4"/>
      <c r="G6" s="4" t="s">
        <v>189</v>
      </c>
      <c r="H6" s="4" t="s">
        <v>190</v>
      </c>
    </row>
    <row r="7" spans="1:8">
      <c r="A7" s="56" t="s">
        <v>191</v>
      </c>
      <c r="B7" s="57">
        <f>COUNTIF('2. Product Backlog'!$J$3:$J$24,"Could")</f>
        <v>4</v>
      </c>
      <c r="C7" s="4"/>
      <c r="D7" s="4"/>
      <c r="E7" s="4"/>
      <c r="F7" s="4"/>
      <c r="G7" s="4" t="s">
        <v>192</v>
      </c>
      <c r="H7" s="4" t="s">
        <v>193</v>
      </c>
    </row>
    <row r="8" spans="1:8">
      <c r="A8" s="58" t="s">
        <v>194</v>
      </c>
      <c r="B8" s="59">
        <f>SUM('2. Product Backlog'!$H$3:$H$24)</f>
        <v>98</v>
      </c>
      <c r="C8" s="4"/>
      <c r="D8" s="4"/>
      <c r="E8" s="4"/>
      <c r="F8" s="4"/>
      <c r="G8" s="4" t="s">
        <v>195</v>
      </c>
      <c r="H8" s="4" t="s">
        <v>196</v>
      </c>
    </row>
    <row r="9" spans="1:8">
      <c r="A9" s="4"/>
      <c r="B9" s="4"/>
      <c r="C9" s="4"/>
      <c r="D9" s="4"/>
      <c r="E9" s="4"/>
      <c r="F9" s="4"/>
      <c r="G9" s="4" t="s">
        <v>197</v>
      </c>
      <c r="H9" s="4" t="s">
        <v>198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12" customWidth="1"/>
    <col min="2" max="2" width="42" customWidth="1"/>
    <col min="3" max="3" width="26" customWidth="1"/>
    <col min="4" max="5" width="42" customWidth="1"/>
  </cols>
  <sheetData>
    <row r="1" spans="1:5" ht="30" customHeight="1">
      <c r="A1" s="77" t="s">
        <v>199</v>
      </c>
      <c r="B1" s="77"/>
      <c r="C1" s="77"/>
      <c r="D1" s="77"/>
      <c r="E1" s="77"/>
    </row>
    <row r="3" spans="1:5" ht="15">
      <c r="A3" s="60" t="s">
        <v>200</v>
      </c>
      <c r="B3" s="61" t="s">
        <v>201</v>
      </c>
      <c r="C3" s="61" t="s">
        <v>202</v>
      </c>
      <c r="D3" s="61" t="s">
        <v>203</v>
      </c>
      <c r="E3" s="62" t="s">
        <v>204</v>
      </c>
    </row>
    <row r="4" spans="1:5" ht="28.5">
      <c r="A4" s="63" t="s">
        <v>205</v>
      </c>
      <c r="B4" s="64" t="s">
        <v>206</v>
      </c>
      <c r="C4" s="64" t="s">
        <v>207</v>
      </c>
      <c r="D4" s="64" t="s">
        <v>208</v>
      </c>
      <c r="E4" s="65" t="s">
        <v>209</v>
      </c>
    </row>
    <row r="5" spans="1:5" ht="28.5">
      <c r="A5" s="63" t="s">
        <v>210</v>
      </c>
      <c r="B5" s="64" t="s">
        <v>211</v>
      </c>
      <c r="C5" s="64" t="s">
        <v>84</v>
      </c>
      <c r="D5" s="64" t="s">
        <v>212</v>
      </c>
      <c r="E5" s="65" t="s">
        <v>213</v>
      </c>
    </row>
    <row r="6" spans="1:5">
      <c r="A6" s="63" t="s">
        <v>214</v>
      </c>
      <c r="B6" s="64" t="s">
        <v>215</v>
      </c>
      <c r="C6" s="64" t="s">
        <v>72</v>
      </c>
      <c r="D6" s="64" t="s">
        <v>216</v>
      </c>
      <c r="E6" s="65" t="s">
        <v>217</v>
      </c>
    </row>
    <row r="7" spans="1:5" ht="28.5">
      <c r="A7" s="63" t="s">
        <v>218</v>
      </c>
      <c r="B7" s="64" t="s">
        <v>219</v>
      </c>
      <c r="C7" s="64" t="s">
        <v>220</v>
      </c>
      <c r="D7" s="64" t="s">
        <v>221</v>
      </c>
      <c r="E7" s="65" t="s">
        <v>222</v>
      </c>
    </row>
    <row r="8" spans="1:5" ht="28.5">
      <c r="A8" s="63" t="s">
        <v>223</v>
      </c>
      <c r="B8" s="64" t="s">
        <v>224</v>
      </c>
      <c r="C8" s="64" t="s">
        <v>225</v>
      </c>
      <c r="D8" s="64" t="s">
        <v>226</v>
      </c>
      <c r="E8" s="65" t="s">
        <v>227</v>
      </c>
    </row>
    <row r="9" spans="1:5" ht="28.5">
      <c r="A9" s="63" t="s">
        <v>228</v>
      </c>
      <c r="B9" s="64" t="s">
        <v>229</v>
      </c>
      <c r="C9" s="64" t="s">
        <v>230</v>
      </c>
      <c r="D9" s="64" t="s">
        <v>231</v>
      </c>
      <c r="E9" s="65" t="s">
        <v>232</v>
      </c>
    </row>
    <row r="10" spans="1:5" ht="28.5">
      <c r="A10" s="66" t="s">
        <v>233</v>
      </c>
      <c r="B10" s="67" t="s">
        <v>234</v>
      </c>
      <c r="C10" s="67" t="s">
        <v>235</v>
      </c>
      <c r="D10" s="67" t="s">
        <v>236</v>
      </c>
      <c r="E10" s="68" t="s">
        <v>237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14" customWidth="1"/>
    <col min="2" max="2" width="18" customWidth="1"/>
    <col min="3" max="3" width="30" customWidth="1"/>
    <col min="4" max="4" width="35" customWidth="1"/>
    <col min="5" max="5" width="48" customWidth="1"/>
    <col min="6" max="6" width="36" customWidth="1"/>
    <col min="7" max="7" width="48" customWidth="1"/>
  </cols>
  <sheetData>
    <row r="1" spans="1:7" ht="30" customHeight="1">
      <c r="A1" s="77" t="s">
        <v>238</v>
      </c>
      <c r="B1" s="77"/>
      <c r="C1" s="77"/>
      <c r="D1" s="77"/>
      <c r="E1" s="77"/>
      <c r="F1" s="77"/>
      <c r="G1" s="77"/>
    </row>
    <row r="3" spans="1:7" ht="15">
      <c r="A3" s="60" t="s">
        <v>175</v>
      </c>
      <c r="B3" s="61" t="s">
        <v>239</v>
      </c>
      <c r="C3" s="61" t="s">
        <v>240</v>
      </c>
      <c r="D3" s="61" t="s">
        <v>241</v>
      </c>
      <c r="E3" s="61" t="s">
        <v>242</v>
      </c>
      <c r="F3" s="61" t="s">
        <v>243</v>
      </c>
      <c r="G3" s="62" t="s">
        <v>244</v>
      </c>
    </row>
    <row r="4" spans="1:7" ht="28.5">
      <c r="A4" s="69" t="s">
        <v>245</v>
      </c>
      <c r="B4" s="64" t="s">
        <v>246</v>
      </c>
      <c r="C4" s="64" t="s">
        <v>247</v>
      </c>
      <c r="D4" s="64" t="s">
        <v>248</v>
      </c>
      <c r="E4" s="64" t="s">
        <v>249</v>
      </c>
      <c r="F4" s="64" t="s">
        <v>250</v>
      </c>
      <c r="G4" s="65" t="s">
        <v>251</v>
      </c>
    </row>
    <row r="5" spans="1:7" ht="28.5">
      <c r="A5" s="69" t="s">
        <v>252</v>
      </c>
      <c r="B5" s="64" t="s">
        <v>253</v>
      </c>
      <c r="C5" s="64" t="s">
        <v>254</v>
      </c>
      <c r="D5" s="64" t="s">
        <v>255</v>
      </c>
      <c r="E5" s="64" t="s">
        <v>256</v>
      </c>
      <c r="F5" s="64" t="s">
        <v>257</v>
      </c>
      <c r="G5" s="65" t="s">
        <v>258</v>
      </c>
    </row>
    <row r="6" spans="1:7" ht="28.5">
      <c r="A6" s="69" t="s">
        <v>42</v>
      </c>
      <c r="B6" s="64" t="s">
        <v>259</v>
      </c>
      <c r="C6" s="64" t="s">
        <v>260</v>
      </c>
      <c r="D6" s="64" t="s">
        <v>261</v>
      </c>
      <c r="E6" s="64" t="s">
        <v>262</v>
      </c>
      <c r="F6" s="64" t="s">
        <v>263</v>
      </c>
      <c r="G6" s="65" t="s">
        <v>264</v>
      </c>
    </row>
    <row r="7" spans="1:7" ht="28.5">
      <c r="A7" s="69" t="s">
        <v>94</v>
      </c>
      <c r="B7" s="64" t="s">
        <v>265</v>
      </c>
      <c r="C7" s="64" t="s">
        <v>266</v>
      </c>
      <c r="D7" s="64" t="s">
        <v>267</v>
      </c>
      <c r="E7" s="64" t="s">
        <v>268</v>
      </c>
      <c r="F7" s="64" t="s">
        <v>269</v>
      </c>
      <c r="G7" s="65" t="s">
        <v>270</v>
      </c>
    </row>
    <row r="8" spans="1:7" ht="28.5">
      <c r="A8" s="69" t="s">
        <v>126</v>
      </c>
      <c r="B8" s="64" t="s">
        <v>271</v>
      </c>
      <c r="C8" s="64" t="s">
        <v>272</v>
      </c>
      <c r="D8" s="64" t="s">
        <v>273</v>
      </c>
      <c r="E8" s="64" t="s">
        <v>274</v>
      </c>
      <c r="F8" s="64" t="s">
        <v>275</v>
      </c>
      <c r="G8" s="65" t="s">
        <v>276</v>
      </c>
    </row>
    <row r="9" spans="1:7" ht="28.5">
      <c r="A9" s="69" t="s">
        <v>132</v>
      </c>
      <c r="B9" s="64" t="s">
        <v>277</v>
      </c>
      <c r="C9" s="64" t="s">
        <v>278</v>
      </c>
      <c r="D9" s="64" t="s">
        <v>279</v>
      </c>
      <c r="E9" s="64" t="s">
        <v>280</v>
      </c>
      <c r="F9" s="64" t="s">
        <v>281</v>
      </c>
      <c r="G9" s="65" t="s">
        <v>282</v>
      </c>
    </row>
    <row r="10" spans="1:7" ht="28.5">
      <c r="A10" s="70" t="s">
        <v>106</v>
      </c>
      <c r="B10" s="67" t="s">
        <v>283</v>
      </c>
      <c r="C10" s="67" t="s">
        <v>284</v>
      </c>
      <c r="D10" s="67" t="s">
        <v>285</v>
      </c>
      <c r="E10" s="67" t="s">
        <v>286</v>
      </c>
      <c r="F10" s="67" t="s">
        <v>287</v>
      </c>
      <c r="G10" s="68" t="s">
        <v>288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25"/>
  <cols>
    <col min="1" max="1" width="24" customWidth="1"/>
    <col min="2" max="3" width="22" customWidth="1"/>
    <col min="4" max="4" width="28" customWidth="1"/>
    <col min="5" max="5" width="45" customWidth="1"/>
    <col min="6" max="6" width="20" customWidth="1"/>
  </cols>
  <sheetData>
    <row r="1" spans="1:6" ht="30" customHeight="1">
      <c r="A1" s="77" t="s">
        <v>289</v>
      </c>
      <c r="B1" s="77"/>
      <c r="C1" s="77"/>
      <c r="D1" s="77"/>
      <c r="E1" s="77"/>
      <c r="F1" s="77"/>
    </row>
    <row r="3" spans="1:6" ht="15">
      <c r="A3" s="60" t="s">
        <v>290</v>
      </c>
      <c r="B3" s="61" t="s">
        <v>291</v>
      </c>
      <c r="C3" s="61" t="s">
        <v>292</v>
      </c>
      <c r="D3" s="61" t="s">
        <v>293</v>
      </c>
      <c r="E3" s="61" t="s">
        <v>294</v>
      </c>
      <c r="F3" s="62" t="s">
        <v>18</v>
      </c>
    </row>
    <row r="4" spans="1:6">
      <c r="A4" s="63" t="s">
        <v>295</v>
      </c>
      <c r="B4" s="64" t="s">
        <v>296</v>
      </c>
      <c r="C4" s="64"/>
      <c r="D4" s="64"/>
      <c r="E4" s="64"/>
      <c r="F4" s="65" t="s">
        <v>297</v>
      </c>
    </row>
    <row r="5" spans="1:6">
      <c r="A5" s="63" t="s">
        <v>298</v>
      </c>
      <c r="B5" s="64" t="s">
        <v>296</v>
      </c>
      <c r="C5" s="64"/>
      <c r="D5" s="64"/>
      <c r="E5" s="64"/>
      <c r="F5" s="65" t="s">
        <v>297</v>
      </c>
    </row>
    <row r="6" spans="1:6">
      <c r="A6" s="66" t="s">
        <v>299</v>
      </c>
      <c r="B6" s="67" t="s">
        <v>296</v>
      </c>
      <c r="C6" s="67"/>
      <c r="D6" s="67"/>
      <c r="E6" s="67"/>
      <c r="F6" s="68" t="s">
        <v>297</v>
      </c>
    </row>
  </sheetData>
  <mergeCells count="1">
    <mergeCell ref="A1:F1"/>
  </mergeCells>
  <dataValidations count="2">
    <dataValidation type="list" sqref="B4:B6" xr:uid="{00000000-0002-0000-0500-000000000000}">
      <formula1>"Chưa phân công,Frontend,Backend,Database/Integration,Testing,Full-stack,DevOps"</formula1>
    </dataValidation>
    <dataValidation type="list" sqref="C4:C6" xr:uid="{00000000-0002-0000-0500-000001000000}">
      <formula1>",Frontend,Backend,Database/Integration,Testing,Full-stack,DevOps"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Cover Page</vt:lpstr>
      <vt:lpstr>2. Product Backlog</vt:lpstr>
      <vt:lpstr>3. Tổng quan</vt:lpstr>
      <vt:lpstr>4. Ánh xạ NFR</vt:lpstr>
      <vt:lpstr>5. Kế hoạch Sprint</vt:lpstr>
      <vt:lpstr>6. Phân vai trò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Dang</cp:lastModifiedBy>
  <dcterms:modified xsi:type="dcterms:W3CDTF">2026-10-16T14:25:58Z</dcterms:modified>
</cp:coreProperties>
</file>